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940" yWindow="1240" windowWidth="27900" windowHeight="16540" tabRatio="600" firstSheet="0" activeTab="0" autoFilterDateGrouping="1"/>
  </bookViews>
  <sheets>
    <sheet xmlns:r="http://schemas.openxmlformats.org/officeDocument/2006/relationships" name="Codex 수행 QA" sheetId="1" state="visible" r:id="rId1"/>
    <sheet xmlns:r="http://schemas.openxmlformats.org/officeDocument/2006/relationships" name="직접 QA 목록(사용자)" sheetId="2" state="visible" r:id="rId2"/>
    <sheet xmlns:r="http://schemas.openxmlformats.org/officeDocument/2006/relationships" name="QA 주의사항" sheetId="3" state="visible" r:id="rId3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15">
    <font>
      <name val="맑은 고딕"/>
      <charset val="129"/>
      <family val="2"/>
      <color theme="1"/>
      <sz val="12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2"/>
      <b val="1"/>
      <color theme="0"/>
      <sz val="9"/>
      <scheme val="minor"/>
    </font>
    <font>
      <name val="맑은 고딕"/>
      <charset val="129"/>
      <family val="2"/>
      <color theme="1"/>
      <sz val="10"/>
      <scheme val="minor"/>
    </font>
    <font>
      <name val="맑은 고딕"/>
      <charset val="129"/>
      <family val="2"/>
      <b val="1"/>
      <color theme="0"/>
      <sz val="10"/>
      <scheme val="minor"/>
    </font>
    <font>
      <name val="맑은 고딕"/>
      <charset val="129"/>
      <family val="2"/>
      <color theme="2" tint="-0.249977111117893"/>
      <sz val="10"/>
      <scheme val="minor"/>
    </font>
    <font>
      <name val="Arial"/>
      <charset val="129"/>
      <family val="2"/>
      <b val="1"/>
      <color theme="0" tint="-0.0499893185216834"/>
      <sz val="10"/>
    </font>
    <font>
      <name val="Malgun Gothic"/>
      <charset val="129"/>
      <family val="2"/>
      <b val="1"/>
      <color theme="0" tint="-0.0499893185216834"/>
      <sz val="10"/>
    </font>
    <font>
      <name val="Arial"/>
      <family val="2"/>
      <b val="1"/>
      <color theme="0" tint="-0.0499893185216834"/>
      <sz val="10"/>
    </font>
    <font>
      <name val="Arial"/>
      <family val="2"/>
      <b val="1"/>
      <color theme="0"/>
      <sz val="10"/>
    </font>
    <font>
      <name val="Malgun Gothic"/>
      <charset val="129"/>
      <family val="2"/>
      <b val="1"/>
      <color theme="0"/>
      <sz val="10"/>
    </font>
    <font>
      <name val="Arial"/>
      <family val="2"/>
      <color theme="1"/>
      <sz val="10"/>
    </font>
    <font>
      <name val="Arial"/>
      <family val="2"/>
      <color theme="2" tint="-0.249977111117893"/>
      <sz val="9"/>
    </font>
    <font>
      <b val="1"/>
      <sz val="10"/>
    </font>
    <font>
      <sz val="10"/>
    </font>
  </fonts>
  <fills count="10">
    <fill>
      <patternFill/>
    </fill>
    <fill>
      <patternFill patternType="gray125"/>
    </fill>
    <fill>
      <patternFill patternType="solid">
        <fgColor theme="2" tint="-0.749992370372631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BDC4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00B7E1CD"/>
      </patternFill>
    </fill>
    <fill>
      <patternFill patternType="solid">
        <fgColor rgb="00F4B6B0"/>
      </patternFill>
    </fill>
    <fill>
      <patternFill patternType="solid">
        <fgColor rgb="00D9D9D9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 applyAlignment="1">
      <alignment vertical="center"/>
    </xf>
  </cellStyleXfs>
  <cellXfs count="42">
    <xf numFmtId="0" fontId="0" fillId="0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14" fontId="5" fillId="0" borderId="0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6" fillId="6" borderId="3" applyAlignment="1" pivotButton="0" quotePrefix="0" xfId="0">
      <alignment horizontal="center" vertical="center"/>
    </xf>
    <xf numFmtId="0" fontId="11" fillId="3" borderId="3" applyAlignment="1" pivotButton="0" quotePrefix="0" xfId="0">
      <alignment vertical="center" wrapText="1"/>
    </xf>
    <xf numFmtId="0" fontId="11" fillId="4" borderId="3" applyAlignment="1" pivotButton="0" quotePrefix="0" xfId="0">
      <alignment vertical="center" wrapText="1"/>
    </xf>
    <xf numFmtId="0" fontId="11" fillId="5" borderId="3" applyAlignment="1" pivotButton="0" quotePrefix="0" xfId="0">
      <alignment vertical="center" wrapText="1"/>
    </xf>
    <xf numFmtId="0" fontId="12" fillId="0" borderId="3" applyAlignment="1" pivotButton="0" quotePrefix="0" xfId="0">
      <alignment horizontal="center" vertical="center" wrapText="1"/>
    </xf>
    <xf numFmtId="0" fontId="12" fillId="0" borderId="2" applyAlignment="1" pivotButton="0" quotePrefix="0" xfId="0">
      <alignment horizontal="center" vertical="center" wrapText="1"/>
    </xf>
    <xf numFmtId="0" fontId="6" fillId="6" borderId="4" applyAlignment="1" pivotButton="0" quotePrefix="0" xfId="0">
      <alignment horizontal="center" vertical="center"/>
    </xf>
    <xf numFmtId="0" fontId="9" fillId="6" borderId="5" applyAlignment="1" pivotButton="0" quotePrefix="0" xfId="0">
      <alignment horizontal="center" vertical="center"/>
    </xf>
    <xf numFmtId="0" fontId="9" fillId="6" borderId="4" applyAlignment="1" pivotButton="0" quotePrefix="0" xfId="0">
      <alignment horizontal="center" vertical="center"/>
    </xf>
    <xf numFmtId="0" fontId="12" fillId="0" borderId="4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center" vertical="center" wrapText="1"/>
    </xf>
    <xf numFmtId="0" fontId="0" fillId="0" borderId="0" pivotButton="0" quotePrefix="0" xfId="0"/>
    <xf numFmtId="0" fontId="6" fillId="6" borderId="7" applyAlignment="1" pivotButton="0" quotePrefix="0" xfId="0">
      <alignment horizontal="center" vertical="center"/>
    </xf>
    <xf numFmtId="0" fontId="0" fillId="0" borderId="3" pivotButton="0" quotePrefix="0" xfId="0"/>
    <xf numFmtId="0" fontId="9" fillId="7" borderId="5" applyAlignment="1" pivotButton="0" quotePrefix="0" xfId="0">
      <alignment horizontal="center" vertical="center"/>
    </xf>
    <xf numFmtId="0" fontId="13" fillId="3" borderId="3" applyAlignment="1" pivotButton="0" quotePrefix="0" xfId="0">
      <alignment horizontal="center" vertical="center"/>
    </xf>
    <xf numFmtId="0" fontId="9" fillId="8" borderId="4" applyAlignment="1" pivotButton="0" quotePrefix="0" xfId="0">
      <alignment horizontal="center" vertical="center"/>
    </xf>
    <xf numFmtId="0" fontId="13" fillId="4" borderId="3" applyAlignment="1" pivotButton="0" quotePrefix="0" xfId="0">
      <alignment horizontal="center" vertical="center"/>
    </xf>
    <xf numFmtId="14" fontId="5" fillId="0" borderId="3" applyAlignment="1" pivotButton="0" quotePrefix="0" xfId="0">
      <alignment horizontal="center" vertical="center"/>
    </xf>
    <xf numFmtId="0" fontId="9" fillId="9" borderId="4" applyAlignment="1" pivotButton="0" quotePrefix="0" xfId="0">
      <alignment horizontal="center" vertical="center"/>
    </xf>
    <xf numFmtId="0" fontId="13" fillId="5" borderId="3" applyAlignment="1" pivotButton="0" quotePrefix="0" xfId="0">
      <alignment horizontal="center" vertical="center"/>
    </xf>
    <xf numFmtId="0" fontId="12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6" pivotButton="0" quotePrefix="0" xfId="0"/>
    <xf numFmtId="0" fontId="14" fillId="0" borderId="9" applyAlignment="1" pivotButton="0" quotePrefix="0" xfId="0">
      <alignment horizontal="center" vertical="top" wrapText="1"/>
    </xf>
    <xf numFmtId="0" fontId="14" fillId="0" borderId="9" applyAlignment="1" pivotButton="0" quotePrefix="0" xfId="0">
      <alignment horizontal="left" vertical="top" wrapText="1"/>
    </xf>
    <xf numFmtId="0" fontId="13" fillId="7" borderId="9" applyAlignment="1" pivotButton="0" quotePrefix="0" xfId="0">
      <alignment horizontal="center" vertical="top" wrapText="1"/>
    </xf>
    <xf numFmtId="0" fontId="13" fillId="9" borderId="9" applyAlignment="1" pivotButton="0" quotePrefix="0" xfId="0">
      <alignment horizontal="center" vertical="top" wrapText="1"/>
    </xf>
    <xf numFmtId="0" fontId="13" fillId="2" borderId="9" applyAlignment="1" pivotButton="0" quotePrefix="0" xfId="0">
      <alignment horizontal="center" vertical="top" wrapText="1"/>
    </xf>
    <xf numFmtId="0" fontId="13" fillId="2" borderId="9" applyAlignment="1" pivotButton="0" quotePrefix="0" xfId="0">
      <alignment horizontal="left" vertical="top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pane ySplit="8" topLeftCell="A9" activePane="bottomLeft" state="frozen"/>
      <selection pane="bottomLeft" activeCell="A1" sqref="A1"/>
    </sheetView>
  </sheetViews>
  <sheetFormatPr baseColWidth="10" defaultRowHeight="18"/>
  <cols>
    <col width="7" customWidth="1" style="23" min="1" max="1"/>
    <col width="16" customWidth="1" style="23" min="2" max="2"/>
    <col width="14" customWidth="1" style="23" min="3" max="3"/>
    <col width="42" customWidth="1" style="23" min="4" max="4"/>
    <col width="52" customWidth="1" style="23" min="5" max="5"/>
    <col width="13" customWidth="1" style="23" min="6" max="6"/>
    <col width="22" customWidth="1" style="23" min="7" max="7"/>
    <col width="26" customWidth="1" style="23" min="8" max="8"/>
    <col width="44" customWidth="1" style="23" min="9" max="9"/>
  </cols>
  <sheetData>
    <row r="1">
      <c r="A1" s="4" t="inlineStr">
        <is>
          <t>유저 시나리오 테스트</t>
        </is>
      </c>
      <c r="D1" s="2" t="n"/>
      <c r="E1" s="24" t="inlineStr">
        <is>
          <t>테스트 결과 요약</t>
        </is>
      </c>
      <c r="F1" s="25" t="n"/>
      <c r="G1" s="3" t="n"/>
      <c r="H1" s="3" t="n"/>
      <c r="I1" s="3" t="n"/>
    </row>
    <row r="2">
      <c r="A2" s="4" t="inlineStr">
        <is>
          <t>프로젝트 명</t>
        </is>
      </c>
      <c r="B2" s="10" t="inlineStr">
        <is>
          <t>smart-factory KEV·EPSS 수집기</t>
        </is>
      </c>
      <c r="C2" s="25" t="n"/>
      <c r="D2" s="2" t="n"/>
      <c r="E2" s="26" t="inlineStr">
        <is>
          <t>Pass(통과)</t>
        </is>
      </c>
      <c r="F2" s="27">
        <f>COUNTIF(F9:F223,"Pass")</f>
        <v/>
      </c>
      <c r="G2" s="3" t="n"/>
      <c r="H2" s="3" t="n"/>
      <c r="I2" s="3" t="n"/>
    </row>
    <row r="3">
      <c r="A3" s="4" t="inlineStr">
        <is>
          <t>작성자</t>
        </is>
      </c>
      <c r="B3" s="10" t="inlineStr">
        <is>
          <t>Codex</t>
        </is>
      </c>
      <c r="C3" s="25" t="n"/>
      <c r="D3" s="2" t="n"/>
      <c r="E3" s="28" t="inlineStr">
        <is>
          <t>Fail(원하는 결과값 X)</t>
        </is>
      </c>
      <c r="F3" s="29">
        <f>COUNTIF(F9:F223,"Fail")</f>
        <v/>
      </c>
      <c r="G3" s="3" t="n"/>
      <c r="H3" s="3" t="n"/>
      <c r="I3" s="3" t="n"/>
    </row>
    <row r="4">
      <c r="A4" s="4" t="inlineStr">
        <is>
          <t>작성일</t>
        </is>
      </c>
      <c r="B4" s="30" t="inlineStr">
        <is>
          <t>2026-10-23</t>
        </is>
      </c>
      <c r="C4" s="25" t="n"/>
      <c r="D4" s="2" t="n"/>
      <c r="E4" s="31" t="inlineStr">
        <is>
          <t>No Run(작동 X)</t>
        </is>
      </c>
      <c r="F4" s="32">
        <f>COUNTIF(F9:F223,"No Run")</f>
        <v/>
      </c>
      <c r="G4" s="3" t="n"/>
      <c r="H4" s="3" t="n"/>
      <c r="I4" s="3" t="n"/>
    </row>
    <row r="5">
      <c r="A5" s="4" t="inlineStr">
        <is>
          <t>테스터</t>
        </is>
      </c>
      <c r="B5" s="10" t="inlineStr">
        <is>
          <t>Codex</t>
        </is>
      </c>
      <c r="C5" s="25" t="n"/>
      <c r="D5" s="2" t="n"/>
      <c r="E5" s="33" t="inlineStr">
        <is>
          <t>수행결과란에 색으로 표기 후, 각 이슈란에 표기해주시면 더욱 가독성있는 문서가 됩니다. 기타 이슈는 '기타'란에 적어주세요.</t>
        </is>
      </c>
      <c r="F5" s="25" t="n"/>
      <c r="G5" s="3" t="n"/>
      <c r="H5" s="3" t="n"/>
      <c r="I5" s="3" t="n"/>
    </row>
    <row r="6">
      <c r="A6" s="4" t="inlineStr">
        <is>
          <t>테스트 환경</t>
        </is>
      </c>
      <c r="B6" s="11" t="inlineStr">
        <is>
          <t>Windows / Python 3.12 / 로컬 테스트, 운영 DB 변경 없음</t>
        </is>
      </c>
      <c r="C6" s="34" t="n"/>
      <c r="D6" s="2" t="n"/>
      <c r="E6" s="35" t="n"/>
      <c r="F6" s="34" t="n"/>
      <c r="G6" s="3" t="n"/>
      <c r="H6" s="3" t="n"/>
      <c r="I6" s="3" t="n"/>
    </row>
    <row r="7">
      <c r="A7" s="3" t="n"/>
      <c r="B7" s="2" t="n"/>
      <c r="C7" s="3" t="n"/>
      <c r="D7" s="2" t="n"/>
      <c r="E7" s="2" t="n"/>
      <c r="F7" s="3" t="n"/>
      <c r="G7" s="3" t="n"/>
      <c r="H7" s="3" t="n"/>
      <c r="I7" s="3" t="n"/>
    </row>
    <row r="8">
      <c r="A8" s="5" t="inlineStr">
        <is>
          <t>번호</t>
        </is>
      </c>
      <c r="B8" s="6" t="inlineStr">
        <is>
          <t>사용자</t>
        </is>
      </c>
      <c r="C8" s="5" t="inlineStr">
        <is>
          <t>단계</t>
        </is>
      </c>
      <c r="D8" s="6" t="inlineStr">
        <is>
          <t>시나리오</t>
        </is>
      </c>
      <c r="E8" s="6" t="inlineStr">
        <is>
          <t>프로세스</t>
        </is>
      </c>
      <c r="F8" s="5" t="inlineStr">
        <is>
          <t>수행 결과</t>
        </is>
      </c>
      <c r="G8" s="5" t="inlineStr">
        <is>
          <t>이슈(FE)</t>
        </is>
      </c>
      <c r="H8" s="5" t="inlineStr">
        <is>
          <t>이슈(BE)</t>
        </is>
      </c>
      <c r="I8" s="5" t="inlineStr">
        <is>
          <t>기타</t>
        </is>
      </c>
    </row>
    <row r="9">
      <c r="A9" s="36" t="n">
        <v>1</v>
      </c>
      <c r="B9" s="37" t="inlineStr">
        <is>
          <t>보안 운영자</t>
        </is>
      </c>
      <c r="C9" s="37" t="inlineStr">
        <is>
          <t>FS1</t>
        </is>
      </c>
      <c r="D9" s="37" t="inlineStr">
        <is>
          <t>test_fs1_valid_feeds_preserve_original_and_metadata</t>
        </is>
      </c>
      <c r="E9" s="37" t="inlineStr">
        <is>
          <t>python -B -m unittest discover -s tests -p test_feed_sync.py -v</t>
        </is>
      </c>
      <c r="F9" s="38" t="inlineStr">
        <is>
          <t>Pass</t>
        </is>
      </c>
      <c r="G9" s="37" t="inlineStr"/>
      <c r="H9" s="37" t="inlineStr"/>
      <c r="I9" s="37" t="inlineStr">
        <is>
          <t>README FS-1~6 / 모의 HTTP, 실제 프로세스 잠금 / 2026-10-23 실행</t>
        </is>
      </c>
    </row>
    <row r="10">
      <c r="A10" s="36" t="n">
        <v>2</v>
      </c>
      <c r="B10" s="37" t="inlineStr">
        <is>
          <t>보안 운영자</t>
        </is>
      </c>
      <c r="C10" s="37" t="inlineStr">
        <is>
          <t>FS2</t>
        </is>
      </c>
      <c r="D10" s="37" t="inlineStr">
        <is>
          <t>test_fs2_identical_content_does_not_create_new_versions</t>
        </is>
      </c>
      <c r="E10" s="37" t="inlineStr">
        <is>
          <t>python -B -m unittest discover -s tests -p test_feed_sync.py -v</t>
        </is>
      </c>
      <c r="F10" s="38" t="inlineStr">
        <is>
          <t>Pass</t>
        </is>
      </c>
      <c r="G10" s="37" t="inlineStr"/>
      <c r="H10" s="37" t="inlineStr"/>
      <c r="I10" s="37" t="inlineStr">
        <is>
          <t>README FS-1~6 / 모의 HTTP, 실제 프로세스 잠금 / 2026-10-23 실행</t>
        </is>
      </c>
    </row>
    <row r="11">
      <c r="A11" s="36" t="n">
        <v>3</v>
      </c>
      <c r="B11" s="37" t="inlineStr">
        <is>
          <t>보안 운영자</t>
        </is>
      </c>
      <c r="C11" s="37" t="inlineStr">
        <is>
          <t>FS2</t>
        </is>
      </c>
      <c r="D11" s="37" t="inlineStr">
        <is>
          <t>test_fs2_not_modified_reuses_verified_original</t>
        </is>
      </c>
      <c r="E11" s="37" t="inlineStr">
        <is>
          <t>python -B -m unittest discover -s tests -p test_feed_sync.py -v</t>
        </is>
      </c>
      <c r="F11" s="38" t="inlineStr">
        <is>
          <t>Pass</t>
        </is>
      </c>
      <c r="G11" s="37" t="inlineStr"/>
      <c r="H11" s="37" t="inlineStr"/>
      <c r="I11" s="37" t="inlineStr">
        <is>
          <t>README FS-1~6 / 모의 HTTP, 실제 프로세스 잠금 / 2026-10-23 실행</t>
        </is>
      </c>
    </row>
    <row r="12">
      <c r="A12" s="36" t="n">
        <v>4</v>
      </c>
      <c r="B12" s="37" t="inlineStr">
        <is>
          <t>보안 운영자</t>
        </is>
      </c>
      <c r="C12" s="37" t="inlineStr">
        <is>
          <t>FS2</t>
        </is>
      </c>
      <c r="D12" s="37" t="inlineStr">
        <is>
          <t>test_fs2_missing_cache_drops_conditional_headers</t>
        </is>
      </c>
      <c r="E12" s="37" t="inlineStr">
        <is>
          <t>python -B -m unittest discover -s tests -p test_feed_sync.py -v</t>
        </is>
      </c>
      <c r="F12" s="38" t="inlineStr">
        <is>
          <t>Pass</t>
        </is>
      </c>
      <c r="G12" s="37" t="inlineStr"/>
      <c r="H12" s="37" t="inlineStr"/>
      <c r="I12" s="37" t="inlineStr">
        <is>
          <t>README FS-1~6 / 모의 HTTP, 실제 프로세스 잠금 / 2026-10-23 실행</t>
        </is>
      </c>
    </row>
    <row r="13">
      <c r="A13" s="36" t="n">
        <v>5</v>
      </c>
      <c r="B13" s="37" t="inlineStr">
        <is>
          <t>보안 운영자</t>
        </is>
      </c>
      <c r="C13" s="37" t="inlineStr">
        <is>
          <t>FS2</t>
        </is>
      </c>
      <c r="D13" s="37" t="inlineStr">
        <is>
          <t>test_fs2_corrupt_cached_file_cannot_accept_304</t>
        </is>
      </c>
      <c r="E13" s="37" t="inlineStr">
        <is>
          <t>python -B -m unittest discover -s tests -p test_feed_sync.py -v</t>
        </is>
      </c>
      <c r="F13" s="38" t="inlineStr">
        <is>
          <t>Pass</t>
        </is>
      </c>
      <c r="G13" s="37" t="inlineStr"/>
      <c r="H13" s="37" t="inlineStr"/>
      <c r="I13" s="37" t="inlineStr">
        <is>
          <t>README FS-1~6 / 모의 HTTP, 실제 프로세스 잠금 / 2026-10-23 실행</t>
        </is>
      </c>
    </row>
    <row r="14">
      <c r="A14" s="36" t="n">
        <v>6</v>
      </c>
      <c r="B14" s="37" t="inlineStr">
        <is>
          <t>보안 운영자</t>
        </is>
      </c>
      <c r="C14" s="37" t="inlineStr">
        <is>
          <t>FS3</t>
        </is>
      </c>
      <c r="D14" s="37" t="inlineStr">
        <is>
          <t>test_fs3_kev_falls_back_without_leaking_endpoint_validators</t>
        </is>
      </c>
      <c r="E14" s="37" t="inlineStr">
        <is>
          <t>python -B -m unittest discover -s tests -p test_feed_sync.py -v</t>
        </is>
      </c>
      <c r="F14" s="38" t="inlineStr">
        <is>
          <t>Pass</t>
        </is>
      </c>
      <c r="G14" s="37" t="inlineStr"/>
      <c r="H14" s="37" t="inlineStr"/>
      <c r="I14" s="37" t="inlineStr">
        <is>
          <t>README FS-1~6 / 모의 HTTP, 실제 프로세스 잠금 / 2026-10-23 실행</t>
        </is>
      </c>
    </row>
    <row r="15">
      <c r="A15" s="36" t="n">
        <v>7</v>
      </c>
      <c r="B15" s="37" t="inlineStr">
        <is>
          <t>보안 운영자</t>
        </is>
      </c>
      <c r="C15" s="37" t="inlineStr">
        <is>
          <t>FS3</t>
        </is>
      </c>
      <c r="D15" s="37" t="inlineStr">
        <is>
          <t>test_fs3_incomplete_read_retries_and_isolates_source</t>
        </is>
      </c>
      <c r="E15" s="37" t="inlineStr">
        <is>
          <t>python -B -m unittest discover -s tests -p test_feed_sync.py -v</t>
        </is>
      </c>
      <c r="F15" s="38" t="inlineStr">
        <is>
          <t>Pass</t>
        </is>
      </c>
      <c r="G15" s="37" t="inlineStr"/>
      <c r="H15" s="37" t="inlineStr"/>
      <c r="I15" s="37" t="inlineStr">
        <is>
          <t>README FS-1~6 / 모의 HTTP, 실제 프로세스 잠금 / 2026-10-23 실행</t>
        </is>
      </c>
    </row>
    <row r="16">
      <c r="A16" s="36" t="n">
        <v>8</v>
      </c>
      <c r="B16" s="37" t="inlineStr">
        <is>
          <t>보안 운영자</t>
        </is>
      </c>
      <c r="C16" s="37" t="inlineStr">
        <is>
          <t>FS3</t>
        </is>
      </c>
      <c r="D16" s="37" t="inlineStr">
        <is>
          <t>test_fs3_extra_csv_columns_rejected_and_metadata_spaces_accepted</t>
        </is>
      </c>
      <c r="E16" s="37" t="inlineStr">
        <is>
          <t>python -B -m unittest discover -s tests -p test_feed_sync.py -v</t>
        </is>
      </c>
      <c r="F16" s="38" t="inlineStr">
        <is>
          <t>Pass</t>
        </is>
      </c>
      <c r="G16" s="37" t="inlineStr"/>
      <c r="H16" s="37" t="inlineStr"/>
      <c r="I16" s="37" t="inlineStr">
        <is>
          <t>README FS-1~6 / 모의 HTTP, 실제 프로세스 잠금 / 2026-10-23 실행</t>
        </is>
      </c>
    </row>
    <row r="17">
      <c r="A17" s="36" t="n">
        <v>9</v>
      </c>
      <c r="B17" s="37" t="inlineStr">
        <is>
          <t>보안 운영자</t>
        </is>
      </c>
      <c r="C17" s="37" t="inlineStr">
        <is>
          <t>FS3</t>
        </is>
      </c>
      <c r="D17" s="37" t="inlineStr">
        <is>
          <t>test_fs3_http_invalid_and_truncated_keep_manifest</t>
        </is>
      </c>
      <c r="E17" s="37" t="inlineStr">
        <is>
          <t>python -B -m unittest discover -s tests -p test_feed_sync.py -v</t>
        </is>
      </c>
      <c r="F17" s="38" t="inlineStr">
        <is>
          <t>Pass</t>
        </is>
      </c>
      <c r="G17" s="37" t="inlineStr"/>
      <c r="H17" s="37" t="inlineStr"/>
      <c r="I17" s="37" t="inlineStr">
        <is>
          <t>README FS-1~6 / 모의 HTTP, 실제 프로세스 잠금 / 2026-10-23 실행</t>
        </is>
      </c>
    </row>
    <row r="18">
      <c r="A18" s="36" t="n">
        <v>10</v>
      </c>
      <c r="B18" s="37" t="inlineStr">
        <is>
          <t>보안 운영자</t>
        </is>
      </c>
      <c r="C18" s="37" t="inlineStr">
        <is>
          <t>FS3</t>
        </is>
      </c>
      <c r="D18" s="37" t="inlineStr">
        <is>
          <t>test_fs3_failing_kev_does_not_block_epss_publication</t>
        </is>
      </c>
      <c r="E18" s="37" t="inlineStr">
        <is>
          <t>python -B -m unittest discover -s tests -p test_feed_sync.py -v</t>
        </is>
      </c>
      <c r="F18" s="38" t="inlineStr">
        <is>
          <t>Pass</t>
        </is>
      </c>
      <c r="G18" s="37" t="inlineStr"/>
      <c r="H18" s="37" t="inlineStr"/>
      <c r="I18" s="37" t="inlineStr">
        <is>
          <t>README FS-1~6 / 모의 HTTP, 실제 프로세스 잠금 / 2026-10-23 실행</t>
        </is>
      </c>
    </row>
    <row r="19">
      <c r="A19" s="36" t="n">
        <v>11</v>
      </c>
      <c r="B19" s="37" t="inlineStr">
        <is>
          <t>보안 운영자</t>
        </is>
      </c>
      <c r="C19" s="37" t="inlineStr">
        <is>
          <t>FS3</t>
        </is>
      </c>
      <c r="D19" s="37" t="inlineStr">
        <is>
          <t>test_fs3_invalid_deflate_keeps_epss_and_allows_kev_update</t>
        </is>
      </c>
      <c r="E19" s="37" t="inlineStr">
        <is>
          <t>python -B -m unittest discover -s tests -p test_feed_sync.py -v</t>
        </is>
      </c>
      <c r="F19" s="38" t="inlineStr">
        <is>
          <t>Pass</t>
        </is>
      </c>
      <c r="G19" s="37" t="inlineStr"/>
      <c r="H19" s="37" t="inlineStr"/>
      <c r="I19" s="37" t="inlineStr">
        <is>
          <t>README FS-1~6 / 모의 HTTP, 실제 프로세스 잠금 / 2026-10-23 실행</t>
        </is>
      </c>
    </row>
    <row r="20">
      <c r="A20" s="36" t="n">
        <v>12</v>
      </c>
      <c r="B20" s="37" t="inlineStr">
        <is>
          <t>보안 운영자</t>
        </is>
      </c>
      <c r="C20" s="37" t="inlineStr">
        <is>
          <t>FS4</t>
        </is>
      </c>
      <c r="D20" s="37" t="inlineStr">
        <is>
          <t>test_fs4_older_feeds_and_excessive_drop_are_rejected</t>
        </is>
      </c>
      <c r="E20" s="37" t="inlineStr">
        <is>
          <t>python -B -m unittest discover -s tests -p test_feed_sync.py -v</t>
        </is>
      </c>
      <c r="F20" s="38" t="inlineStr">
        <is>
          <t>Pass</t>
        </is>
      </c>
      <c r="G20" s="37" t="inlineStr"/>
      <c r="H20" s="37" t="inlineStr"/>
      <c r="I20" s="37" t="inlineStr">
        <is>
          <t>README FS-1~6 / 모의 HTTP, 실제 프로세스 잠금 / 2026-10-23 실행</t>
        </is>
      </c>
    </row>
    <row r="21">
      <c r="A21" s="36" t="n">
        <v>13</v>
      </c>
      <c r="B21" s="37" t="inlineStr">
        <is>
          <t>보안 운영자</t>
        </is>
      </c>
      <c r="C21" s="37" t="inlineStr">
        <is>
          <t>FS5</t>
        </is>
      </c>
      <c r="D21" s="37" t="inlineStr">
        <is>
          <t>test_fs5_other_process_cannot_acquire_held_os_lock</t>
        </is>
      </c>
      <c r="E21" s="37" t="inlineStr">
        <is>
          <t>python -B -m unittest discover -s tests -p test_feed_sync.py -v</t>
        </is>
      </c>
      <c r="F21" s="38" t="inlineStr">
        <is>
          <t>Pass</t>
        </is>
      </c>
      <c r="G21" s="37" t="inlineStr"/>
      <c r="H21" s="37" t="inlineStr"/>
      <c r="I21" s="37" t="inlineStr">
        <is>
          <t>README FS-1~6 / 모의 HTTP, 실제 프로세스 잠금 / 2026-10-23 실행</t>
        </is>
      </c>
    </row>
    <row r="22">
      <c r="A22" s="36" t="n">
        <v>14</v>
      </c>
      <c r="B22" s="37" t="inlineStr">
        <is>
          <t>보안 운영자</t>
        </is>
      </c>
      <c r="C22" s="37" t="inlineStr">
        <is>
          <t>FS6</t>
        </is>
      </c>
      <c r="D22" s="37" t="inlineStr">
        <is>
          <t>test_fs6_independent_intervals_skip_fresh_epss</t>
        </is>
      </c>
      <c r="E22" s="37" t="inlineStr">
        <is>
          <t>python -B -m unittest discover -s tests -p test_feed_sync.py -v</t>
        </is>
      </c>
      <c r="F22" s="38" t="inlineStr">
        <is>
          <t>Pass</t>
        </is>
      </c>
      <c r="G22" s="37" t="inlineStr"/>
      <c r="H22" s="37" t="inlineStr"/>
      <c r="I22" s="37" t="inlineStr">
        <is>
          <t>README FS-1~6 / 모의 HTTP, 실제 프로세스 잠금 / 2026-10-23 실행</t>
        </is>
      </c>
    </row>
    <row r="23">
      <c r="A23" s="36" t="n">
        <v>15</v>
      </c>
      <c r="B23" s="37" t="inlineStr">
        <is>
          <t>보안 운영자</t>
        </is>
      </c>
      <c r="C23" s="37" t="inlineStr">
        <is>
          <t>FS-1 실수집</t>
        </is>
      </c>
      <c r="D23" s="37" t="inlineStr">
        <is>
          <t>공식 KEV·EPSS 전체 원본 받기</t>
        </is>
      </c>
      <c r="E23" s="37" t="inlineStr">
        <is>
          <t>실제 1회 실행 시 WinError 10013 네트워크 차단</t>
        </is>
      </c>
      <c r="F23" s="39" t="inlineStr">
        <is>
          <t>No Run</t>
        </is>
      </c>
      <c r="G23" s="37" t="inlineStr"/>
      <c r="H23" s="37" t="inlineStr">
        <is>
          <t>실행 환경 통신 제한</t>
        </is>
      </c>
      <c r="I23" s="37" t="inlineStr">
        <is>
          <t>모의 시험 성공과 실제 외부 수집을 구분</t>
        </is>
      </c>
    </row>
  </sheetData>
  <mergeCells count="8">
    <mergeCell ref="B6:C6"/>
    <mergeCell ref="B2:C2"/>
    <mergeCell ref="A1:C1"/>
    <mergeCell ref="B3:C3"/>
    <mergeCell ref="B5:C5"/>
    <mergeCell ref="E1:F1"/>
    <mergeCell ref="E5:F6"/>
    <mergeCell ref="B4:C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8" topLeftCell="A9" activePane="bottomLeft" state="frozen"/>
      <selection pane="bottomLeft" activeCell="A1" sqref="A1"/>
    </sheetView>
  </sheetViews>
  <sheetFormatPr baseColWidth="10" defaultRowHeight="18"/>
  <cols>
    <col width="7" customWidth="1" style="23" min="1" max="1"/>
    <col width="16" customWidth="1" style="23" min="2" max="2"/>
    <col width="14" customWidth="1" style="23" min="3" max="3"/>
    <col width="42" customWidth="1" style="23" min="4" max="4"/>
    <col width="52" customWidth="1" style="23" min="5" max="5"/>
    <col width="13" customWidth="1" style="23" min="6" max="6"/>
    <col width="22" customWidth="1" style="23" min="7" max="7"/>
    <col width="26" customWidth="1" style="23" min="8" max="8"/>
    <col width="44" customWidth="1" style="23" min="9" max="9"/>
  </cols>
  <sheetData>
    <row r="1">
      <c r="A1" s="4" t="inlineStr">
        <is>
          <t>유저 시나리오 테스트</t>
        </is>
      </c>
      <c r="D1" s="2" t="n"/>
      <c r="E1" s="24" t="inlineStr">
        <is>
          <t>테스트 결과 요약</t>
        </is>
      </c>
      <c r="F1" s="25" t="n"/>
      <c r="G1" s="3" t="n"/>
      <c r="H1" s="3" t="n"/>
      <c r="I1" s="3" t="n"/>
    </row>
    <row r="2">
      <c r="A2" s="4" t="inlineStr">
        <is>
          <t>프로젝트 명</t>
        </is>
      </c>
      <c r="B2" s="10" t="inlineStr">
        <is>
          <t>smart-factory KEV·EPSS 수집기</t>
        </is>
      </c>
      <c r="C2" s="25" t="n"/>
      <c r="D2" s="2" t="n"/>
      <c r="E2" s="26" t="inlineStr">
        <is>
          <t>Pass(통과)</t>
        </is>
      </c>
      <c r="F2" s="27">
        <f>COUNTIF(F9:F210,"Pass")</f>
        <v/>
      </c>
      <c r="G2" s="3" t="n"/>
      <c r="H2" s="3" t="n"/>
      <c r="I2" s="3" t="n"/>
    </row>
    <row r="3">
      <c r="A3" s="4" t="inlineStr">
        <is>
          <t>작성자</t>
        </is>
      </c>
      <c r="B3" s="10" t="inlineStr">
        <is>
          <t>Codex</t>
        </is>
      </c>
      <c r="C3" s="25" t="n"/>
      <c r="D3" s="2" t="n"/>
      <c r="E3" s="28" t="inlineStr">
        <is>
          <t>Fail(원하는 결과값 X)</t>
        </is>
      </c>
      <c r="F3" s="29">
        <f>COUNTIF(F9:F210,"Fail")</f>
        <v/>
      </c>
      <c r="G3" s="3" t="n"/>
      <c r="H3" s="3" t="n"/>
      <c r="I3" s="3" t="n"/>
    </row>
    <row r="4">
      <c r="A4" s="4" t="inlineStr">
        <is>
          <t>작성일</t>
        </is>
      </c>
      <c r="B4" s="30" t="inlineStr">
        <is>
          <t>2026-10-23</t>
        </is>
      </c>
      <c r="C4" s="25" t="n"/>
      <c r="D4" s="2" t="n"/>
      <c r="E4" s="31" t="inlineStr">
        <is>
          <t>No Run(작동 X)</t>
        </is>
      </c>
      <c r="F4" s="32">
        <f>COUNTIF(F9:F210,"No Run")</f>
        <v/>
      </c>
      <c r="G4" s="3" t="n"/>
      <c r="H4" s="3" t="n"/>
      <c r="I4" s="3" t="n"/>
    </row>
    <row r="5">
      <c r="A5" s="4" t="inlineStr">
        <is>
          <t>테스터</t>
        </is>
      </c>
      <c r="B5" s="10" t="inlineStr">
        <is>
          <t>Codex</t>
        </is>
      </c>
      <c r="C5" s="25" t="n"/>
      <c r="D5" s="2" t="n"/>
      <c r="E5" s="33" t="inlineStr">
        <is>
          <t>수행결과란에 색으로 표기 후, 각 이슈란에 표기해주시면 더욱 가독성있는 문서가 됩니다. 기타 이슈는 '기타'란에 적어주세요.</t>
        </is>
      </c>
      <c r="F5" s="25" t="n"/>
      <c r="G5" s="3" t="n"/>
      <c r="H5" s="3" t="n"/>
      <c r="I5" s="3" t="n"/>
    </row>
    <row r="6">
      <c r="A6" s="4" t="inlineStr">
        <is>
          <t>테스트 환경</t>
        </is>
      </c>
      <c r="B6" s="11" t="inlineStr">
        <is>
          <t>Windows / Python 3.12 / 로컬 테스트, 운영 DB 변경 없음</t>
        </is>
      </c>
      <c r="C6" s="34" t="n"/>
      <c r="D6" s="2" t="n"/>
      <c r="E6" s="35" t="n"/>
      <c r="F6" s="34" t="n"/>
      <c r="G6" s="3" t="n"/>
      <c r="H6" s="3" t="n"/>
      <c r="I6" s="3" t="n"/>
    </row>
    <row r="7">
      <c r="A7" s="3" t="n"/>
      <c r="B7" s="2" t="n"/>
      <c r="C7" s="3" t="n"/>
      <c r="D7" s="2" t="n"/>
      <c r="E7" s="2" t="n"/>
      <c r="F7" s="3" t="n"/>
      <c r="G7" s="3" t="n"/>
      <c r="H7" s="3" t="n"/>
      <c r="I7" s="3" t="n"/>
    </row>
    <row r="8">
      <c r="A8" s="5" t="inlineStr">
        <is>
          <t>번호</t>
        </is>
      </c>
      <c r="B8" s="6" t="inlineStr">
        <is>
          <t>사용자</t>
        </is>
      </c>
      <c r="C8" s="5" t="inlineStr">
        <is>
          <t>단계</t>
        </is>
      </c>
      <c r="D8" s="6" t="inlineStr">
        <is>
          <t>시나리오</t>
        </is>
      </c>
      <c r="E8" s="6" t="inlineStr">
        <is>
          <t>프로세스</t>
        </is>
      </c>
      <c r="F8" s="5" t="inlineStr">
        <is>
          <t>수행 결과</t>
        </is>
      </c>
      <c r="G8" s="5" t="inlineStr">
        <is>
          <t>이슈(FE)</t>
        </is>
      </c>
      <c r="H8" s="5" t="inlineStr">
        <is>
          <t>이슈(BE)</t>
        </is>
      </c>
      <c r="I8" s="5" t="inlineStr">
        <is>
          <t>기타</t>
        </is>
      </c>
    </row>
    <row r="9">
      <c r="A9" s="36" t="n">
        <v>1</v>
      </c>
      <c r="B9" s="37" t="inlineStr">
        <is>
          <t>사용자</t>
        </is>
      </c>
      <c r="C9" s="37" t="inlineStr">
        <is>
          <t>네트워크</t>
        </is>
      </c>
      <c r="D9" s="37" t="inlineStr">
        <is>
          <t>사용자 PC에서 전체 원본 수신</t>
        </is>
      </c>
      <c r="E9" s="37" t="inlineStr">
        <is>
          <t>python scripts/sync_vulnerability_feeds.py 실행 후 current.json과 두 소스 파일 확인</t>
        </is>
      </c>
      <c r="F9" s="36" t="inlineStr"/>
      <c r="G9" s="37" t="inlineStr"/>
      <c r="H9" s="37" t="inlineStr"/>
      <c r="I9" s="37" t="inlineStr">
        <is>
          <t>실제 방화벽·외부 통신 허용 환경에서 확인</t>
        </is>
      </c>
    </row>
    <row r="10">
      <c r="A10" s="36" t="n">
        <v>2</v>
      </c>
      <c r="B10" s="37" t="inlineStr">
        <is>
          <t>사용자</t>
        </is>
      </c>
      <c r="C10" s="37" t="inlineStr">
        <is>
          <t>감시</t>
        </is>
      </c>
      <c r="D10" s="37" t="inlineStr">
        <is>
          <t>하루 이상 실행하여 다음 발행본 수신 확인</t>
        </is>
      </c>
      <c r="E10" s="37" t="inlineStr">
        <is>
          <t>--watch 실행을 유지하고 checked_at/source_date/새 해시 경로 확인</t>
        </is>
      </c>
      <c r="F10" s="36" t="inlineStr"/>
      <c r="G10" s="37" t="inlineStr"/>
      <c r="H10" s="37" t="inlineStr"/>
      <c r="I10" s="37" t="inlineStr">
        <is>
          <t>PC 종료 시 감시 중단. 운영 예약 실행은 미등록</t>
        </is>
      </c>
    </row>
  </sheetData>
  <mergeCells count="8">
    <mergeCell ref="B6:C6"/>
    <mergeCell ref="B2:C2"/>
    <mergeCell ref="A1:C1"/>
    <mergeCell ref="B3:C3"/>
    <mergeCell ref="B5:C5"/>
    <mergeCell ref="E1:F1"/>
    <mergeCell ref="E5:F6"/>
    <mergeCell ref="B4:C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style="23" min="1" max="1"/>
    <col width="110" customWidth="1" style="23" min="2" max="2"/>
  </cols>
  <sheetData>
    <row r="1">
      <c r="A1" s="40" t="inlineStr">
        <is>
          <t>구분</t>
        </is>
      </c>
      <c r="B1" s="41" t="inlineStr">
        <is>
          <t>내용</t>
        </is>
      </c>
    </row>
    <row r="2">
      <c r="A2" s="36" t="inlineStr">
        <is>
          <t>결과</t>
        </is>
      </c>
      <c r="B2" s="37" t="inlineStr">
        <is>
          <t>14 Pass / 0 Fail / 1 No Run. 기존 앱 50 passed·1 todo, typecheck 통과</t>
        </is>
      </c>
    </row>
    <row r="3">
      <c r="A3" s="36" t="inlineStr">
        <is>
          <t>근거</t>
        </is>
      </c>
      <c r="B3" s="37" t="inlineStr">
        <is>
          <t>README FS-1~6, tests/test_feed_sync.py</t>
        </is>
      </c>
    </row>
    <row r="4">
      <c r="A4" s="36" t="inlineStr">
        <is>
          <t>독립 검토</t>
        </is>
      </c>
      <c r="B4" s="37" t="inlineStr">
        <is>
          <t>gzip zlib.error 처리 누락 발견·보완·회귀시험 통과</t>
        </is>
      </c>
    </row>
    <row r="5">
      <c r="A5" s="36" t="inlineStr">
        <is>
          <t>제약</t>
        </is>
      </c>
      <c r="B5" s="37" t="inlineStr">
        <is>
          <t>실제 공식 전체 수집·장시간 감시는 사용자 환경에서 확인 필요</t>
        </is>
      </c>
    </row>
    <row r="6">
      <c r="A6" s="36" t="inlineStr">
        <is>
          <t>데이터</t>
        </is>
      </c>
      <c r="B6" s="37" t="inlineStr">
        <is>
          <t>scratch/vulnerability-feeds/에 파일 저장. DB 적재·승인 상태 변경 없음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김지은</dc:creator>
  <dcterms:created xmlns:dcterms="http://purl.org/dc/terms/" xmlns:xsi="http://www.w3.org/2001/XMLSchema-instance" xsi:type="dcterms:W3CDTF">2024-06-12T05:11:08Z</dcterms:created>
  <dcterms:modified xmlns:dcterms="http://purl.org/dc/terms/" xmlns:xsi="http://www.w3.org/2001/XMLSchema-instance" xsi:type="dcterms:W3CDTF">2026-10-23T00:11:40Z</dcterms:modified>
  <cp:lastModifiedBy>김지은</cp:lastModifiedBy>
</cp:coreProperties>
</file>